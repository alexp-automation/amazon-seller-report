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t by SKU" sheetId="2" state="visible" r:id="rId2"/>
    <sheet name="Restock plan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/dd/yyyy"/>
    <numFmt numFmtId="166" formatCode="0.0%"/>
    <numFmt numFmtId="167" formatCode="&quot;$&quot;#,##0"/>
    <numFmt numFmtId="168" formatCode="&quot;$&quot;0.00"/>
    <numFmt numFmtId="169" formatCode="0.0"/>
  </numFmts>
  <fonts count="9">
    <font>
      <name val="Calibri"/>
      <family val="2"/>
      <color theme="1"/>
      <sz val="11"/>
      <scheme val="minor"/>
    </font>
    <font>
      <i val="1"/>
      <color rgb="006B7280"/>
    </font>
    <font>
      <b val="1"/>
      <color rgb="00FFFFFF"/>
    </font>
    <font>
      <b val="1"/>
    </font>
    <font>
      <b val="1"/>
      <color rgb="001F3A5F"/>
      <sz val="20"/>
    </font>
    <font>
      <color rgb="006B7280"/>
    </font>
    <font>
      <color rgb="006B7280"/>
      <sz val="10"/>
    </font>
    <font>
      <b val="1"/>
      <color rgb="001F3A5F"/>
      <sz val="17"/>
    </font>
    <font>
      <b val="1"/>
      <color rgb="001F3A5F"/>
      <sz val="13"/>
    </font>
  </fonts>
  <fills count="8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8D7DA"/>
      </patternFill>
    </fill>
    <fill>
      <patternFill patternType="solid">
        <fgColor rgb="00FDE8C8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0" fillId="4" borderId="0" pivotButton="0" quotePrefix="0" xfId="0"/>
    <xf numFmtId="167" fontId="7" fillId="4" borderId="0" applyAlignment="1" pivotButton="0" quotePrefix="0" xfId="0">
      <alignment horizontal="center"/>
    </xf>
    <xf numFmtId="166" fontId="7" fillId="4" borderId="0" applyAlignment="1" pivotButton="0" quotePrefix="0" xfId="0">
      <alignment horizontal="center"/>
    </xf>
    <xf numFmtId="1" fontId="7" fillId="4" borderId="0" applyAlignment="1" pivotButton="0" quotePrefix="0" xfId="0">
      <alignment horizontal="center"/>
    </xf>
    <xf numFmtId="0" fontId="8" fillId="0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7" fontId="0" fillId="0" borderId="0" pivotButton="0" quotePrefix="0" xfId="0"/>
    <xf numFmtId="166" fontId="0" fillId="2" borderId="0" pivotButton="0" quotePrefix="0" xfId="0"/>
    <xf numFmtId="168" fontId="0" fillId="2" borderId="0" pivotButton="0" quotePrefix="0" xfId="0"/>
    <xf numFmtId="166" fontId="0" fillId="0" borderId="0" pivotButton="0" quotePrefix="0" xfId="0"/>
    <xf numFmtId="168" fontId="0" fillId="0" borderId="0" pivotButton="0" quotePrefix="0" xfId="0"/>
    <xf numFmtId="3" fontId="3" fillId="0" borderId="0" pivotButton="0" quotePrefix="0" xfId="0"/>
    <xf numFmtId="167" fontId="3" fillId="0" borderId="0" pivotButton="0" quotePrefix="0" xfId="0"/>
    <xf numFmtId="166" fontId="3" fillId="0" borderId="0" pivotButton="0" quotePrefix="0" xfId="0"/>
    <xf numFmtId="168" fontId="3" fillId="0" borderId="0" pivotButton="0" quotePrefix="0" xfId="0"/>
    <xf numFmtId="169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5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6">
    <dxf>
      <font>
        <b val="1"/>
        <color rgb="009B1C1C"/>
      </font>
      <fill>
        <patternFill patternType="solid">
          <fgColor rgb="00F8D7DA"/>
        </patternFill>
      </fill>
    </dxf>
    <dxf>
      <fill>
        <patternFill patternType="solid">
          <fgColor rgb="00FDE8C8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F3C4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SKU, this period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'Profit by SKU'!M1</f>
            </strRef>
          </tx>
          <spPr>
            <a:ln>
              <a:prstDash val="solid"/>
            </a:ln>
          </spPr>
          <cat>
            <numRef>
              <f>'Profit by SKU'!$A$2:$A$13</f>
            </numRef>
          </cat>
          <val>
            <numRef>
              <f>'Profit by SKU'!$M$2:$M$13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3" customWidth="1" min="3" max="3"/>
    <col width="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B2" s="1" t="inlineStr">
        <is>
          <t>Amazon seller report</t>
        </is>
      </c>
    </row>
    <row r="3">
      <c r="B3" s="2">
        <f>"Last "&amp;Settings!B1&amp;" days, as of "&amp;TEXT(Settings!B2,"mmm d, yyyy")</f>
        <v/>
      </c>
    </row>
    <row r="5">
      <c r="B5" s="3" t="inlineStr">
        <is>
          <t>Revenue</t>
        </is>
      </c>
      <c r="C5" s="4" t="n"/>
      <c r="D5" s="3" t="inlineStr">
        <is>
          <t>Net profit</t>
        </is>
      </c>
      <c r="E5" s="4" t="n"/>
      <c r="F5" s="3" t="inlineStr">
        <is>
          <t>Margin</t>
        </is>
      </c>
      <c r="G5" s="4" t="n"/>
      <c r="H5" s="3" t="inlineStr">
        <is>
          <t>Ad spend</t>
        </is>
      </c>
      <c r="I5" s="4" t="n"/>
      <c r="J5" s="3" t="inlineStr">
        <is>
          <t>TACoS</t>
        </is>
      </c>
      <c r="K5" s="4" t="n"/>
      <c r="L5" s="3" t="inlineStr">
        <is>
          <t>SKUs to reorder now</t>
        </is>
      </c>
      <c r="M5" s="4" t="n"/>
    </row>
    <row r="6" ht="28" customHeight="1">
      <c r="B6" s="5">
        <f>'Profit by SKU'!E14</f>
        <v/>
      </c>
      <c r="C6" s="4" t="n"/>
      <c r="D6" s="5">
        <f>'Profit by SKU'!M14</f>
        <v/>
      </c>
      <c r="E6" s="4" t="n"/>
      <c r="F6" s="6">
        <f>'Profit by SKU'!N14</f>
        <v/>
      </c>
      <c r="G6" s="4" t="n"/>
      <c r="H6" s="5">
        <f>'Profit by SKU'!I14</f>
        <v/>
      </c>
      <c r="I6" s="4" t="n"/>
      <c r="J6" s="6">
        <f>'Profit by SKU'!Q14</f>
        <v/>
      </c>
      <c r="K6" s="4" t="n"/>
      <c r="L6" s="7">
        <f>COUNTIF('Restock plan'!L2:L13,"ORDER NOW*")</f>
        <v/>
      </c>
      <c r="M6" s="4" t="n"/>
    </row>
    <row r="9">
      <c r="B9" s="8" t="inlineStr">
        <is>
          <t>Needs attention</t>
        </is>
      </c>
    </row>
    <row r="10">
      <c r="B10" s="9" t="inlineStr">
        <is>
          <t>Stockout risk</t>
        </is>
      </c>
      <c r="C10" s="10" t="inlineStr">
        <is>
          <t>HP-GLS-JAR4</t>
        </is>
      </c>
      <c r="E10" t="inlineStr">
        <is>
          <t>FBA stock lasts ~9 days, reorder lead time is 50 days. Order now.</t>
        </is>
      </c>
    </row>
    <row r="11">
      <c r="B11" s="11" t="inlineStr">
        <is>
          <t>Reorder soon</t>
        </is>
      </c>
      <c r="C11" s="10" t="inlineStr">
        <is>
          <t>HP-BAM-CB3</t>
        </is>
      </c>
      <c r="E11" t="inlineStr">
        <is>
          <t>~60 days of stock incl. inbound; place the next order within 1 days.</t>
        </is>
      </c>
    </row>
    <row r="12">
      <c r="B12" s="11" t="inlineStr">
        <is>
          <t>Reorder soon</t>
        </is>
      </c>
      <c r="C12" s="10" t="inlineStr">
        <is>
          <t>HP-DSH-RCK</t>
        </is>
      </c>
      <c r="E12" t="inlineStr">
        <is>
          <t>~76 days of stock incl. inbound; place the next order within 7 days.</t>
        </is>
      </c>
    </row>
    <row r="13">
      <c r="B13" s="11" t="inlineStr">
        <is>
          <t>Reorder soon</t>
        </is>
      </c>
      <c r="C13" s="10" t="inlineStr">
        <is>
          <t>HP-KNF-MAG</t>
        </is>
      </c>
      <c r="E13" t="inlineStr">
        <is>
          <t>~57 days of stock incl. inbound; place the next order today.</t>
        </is>
      </c>
    </row>
    <row r="14">
      <c r="B14" s="9" t="inlineStr">
        <is>
          <t>Losing money</t>
        </is>
      </c>
      <c r="C14" s="10" t="inlineStr">
        <is>
          <t>HP-CRM-MUG2</t>
        </is>
      </c>
      <c r="E14" t="inlineStr">
        <is>
          <t>Net -$98 this period; ad spend $260 (TACoS 16%).</t>
        </is>
      </c>
    </row>
    <row r="15">
      <c r="B15" s="9" t="inlineStr">
        <is>
          <t>Losing money</t>
        </is>
      </c>
      <c r="C15" s="10" t="inlineStr">
        <is>
          <t>HP-HRB-KEEP</t>
        </is>
      </c>
      <c r="E15" t="inlineStr">
        <is>
          <t>Net -$137 this period; ad spend $690 (TACoS 36%).</t>
        </is>
      </c>
    </row>
    <row r="16">
      <c r="B16" s="11" t="inlineStr">
        <is>
          <t>Low conversion</t>
        </is>
      </c>
      <c r="C16" s="10" t="inlineStr">
        <is>
          <t>HP-BEE-WRP</t>
        </is>
      </c>
      <c r="E16" t="inlineStr">
        <is>
          <t>5.7% of 3,655 sessions buy. Check price, images, reviews.</t>
        </is>
      </c>
    </row>
    <row r="17">
      <c r="B17" s="11" t="inlineStr">
        <is>
          <t>Low conversion</t>
        </is>
      </c>
      <c r="C17" s="10" t="inlineStr">
        <is>
          <t>HP-DSH-RCK</t>
        </is>
      </c>
      <c r="E17" t="inlineStr">
        <is>
          <t>2.5% of 5,000 sessions buy. Check price, images, reviews.</t>
        </is>
      </c>
    </row>
    <row r="18">
      <c r="B18" s="11" t="inlineStr">
        <is>
          <t>Low conversion</t>
        </is>
      </c>
      <c r="C18" s="10" t="inlineStr">
        <is>
          <t>HP-CRM-MUG2</t>
        </is>
      </c>
      <c r="E18" t="inlineStr">
        <is>
          <t>2.8% of 2,720 sessions buy. Check price, images, reviews.</t>
        </is>
      </c>
    </row>
    <row r="19">
      <c r="B19" s="11" t="inlineStr">
        <is>
          <t>Low conversion</t>
        </is>
      </c>
      <c r="C19" s="10" t="inlineStr">
        <is>
          <t>HP-HRB-KEEP</t>
        </is>
      </c>
      <c r="E19" t="inlineStr">
        <is>
          <t>2.8% of 3,639 sessions buy. Check price, images, reviews.</t>
        </is>
      </c>
    </row>
    <row r="20">
      <c r="B20" s="12" t="inlineStr">
        <is>
          <t>Overstock</t>
        </is>
      </c>
      <c r="C20" s="10" t="inlineStr">
        <is>
          <t>HP-CRM-MUG2</t>
        </is>
      </c>
      <c r="E20" t="inlineStr">
        <is>
          <t>355 days of stock: storage fees add up. Consider a promotion.</t>
        </is>
      </c>
    </row>
    <row r="21">
      <c r="B21" s="12" t="inlineStr">
        <is>
          <t>Overstock</t>
        </is>
      </c>
      <c r="C21" s="10" t="inlineStr">
        <is>
          <t>HP-HRB-KEEP</t>
        </is>
      </c>
      <c r="E21" t="inlineStr">
        <is>
          <t>210 days of stock: storage fees add up. Consider a promotion.</t>
        </is>
      </c>
    </row>
  </sheetData>
  <mergeCells count="12">
    <mergeCell ref="D6:E6"/>
    <mergeCell ref="B6:C6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9" customWidth="1" min="3" max="3"/>
    <col width="7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8" customWidth="1" min="14" max="14"/>
    <col width="9" customWidth="1" min="15" max="15"/>
    <col width="8" customWidth="1" min="16" max="16"/>
    <col width="8" customWidth="1" min="17" max="17"/>
    <col width="10" customWidth="1" min="18" max="18"/>
  </cols>
  <sheetData>
    <row r="1" ht="32" customHeight="1">
      <c r="A1" s="13" t="inlineStr">
        <is>
          <t>SKU</t>
        </is>
      </c>
      <c r="B1" s="13" t="inlineStr">
        <is>
          <t>Product</t>
        </is>
      </c>
      <c r="C1" s="13" t="inlineStr">
        <is>
          <t>Sessions</t>
        </is>
      </c>
      <c r="D1" s="13" t="inlineStr">
        <is>
          <t>Units</t>
        </is>
      </c>
      <c r="E1" s="13" t="inlineStr">
        <is>
          <t>Revenue</t>
        </is>
      </c>
      <c r="F1" s="13" t="inlineStr">
        <is>
          <t>Referral %</t>
        </is>
      </c>
      <c r="G1" s="13" t="inlineStr">
        <is>
          <t>FBA fee / unit</t>
        </is>
      </c>
      <c r="H1" s="13" t="inlineStr">
        <is>
          <t>COGS / unit</t>
        </is>
      </c>
      <c r="I1" s="13" t="inlineStr">
        <is>
          <t>PPC spend</t>
        </is>
      </c>
      <c r="J1" s="13" t="inlineStr">
        <is>
          <t>PPC sales</t>
        </is>
      </c>
      <c r="K1" s="13" t="inlineStr">
        <is>
          <t>Amazon fees</t>
        </is>
      </c>
      <c r="L1" s="13" t="inlineStr">
        <is>
          <t>COGS</t>
        </is>
      </c>
      <c r="M1" s="13" t="inlineStr">
        <is>
          <t>Net profit</t>
        </is>
      </c>
      <c r="N1" s="13" t="inlineStr">
        <is>
          <t>Margin</t>
        </is>
      </c>
      <c r="O1" s="13" t="inlineStr">
        <is>
          <t>Profit / unit</t>
        </is>
      </c>
      <c r="P1" s="13" t="inlineStr">
        <is>
          <t>ACoS</t>
        </is>
      </c>
      <c r="Q1" s="13" t="inlineStr">
        <is>
          <t>TACoS</t>
        </is>
      </c>
      <c r="R1" s="13" t="inlineStr">
        <is>
          <t>Conversion</t>
        </is>
      </c>
    </row>
    <row r="2">
      <c r="A2" t="inlineStr">
        <is>
          <t>HP-BAM-CB3</t>
        </is>
      </c>
      <c r="B2" t="inlineStr">
        <is>
          <t>Bamboo Cutting Board Set, 3-Piece with Juice Groove</t>
        </is>
      </c>
      <c r="C2" s="14" t="n">
        <v>2779</v>
      </c>
      <c r="D2" s="14" t="n">
        <v>389</v>
      </c>
      <c r="E2" s="15" t="n">
        <v>12466.43</v>
      </c>
      <c r="F2" s="16" t="n">
        <v>0.15</v>
      </c>
      <c r="G2" s="17" t="n">
        <v>6.45</v>
      </c>
      <c r="H2" s="17" t="n">
        <v>8.299999999999999</v>
      </c>
      <c r="I2" s="15" t="n">
        <v>980</v>
      </c>
      <c r="J2" s="15" t="n">
        <v>3900</v>
      </c>
      <c r="K2" s="15">
        <f>E2*F2+D2*G2</f>
        <v/>
      </c>
      <c r="L2" s="15">
        <f>D2*H2</f>
        <v/>
      </c>
      <c r="M2" s="15">
        <f>E2-K2-L2-I2</f>
        <v/>
      </c>
      <c r="N2" s="18">
        <f>IFERROR(M2/E2,0)</f>
        <v/>
      </c>
      <c r="O2" s="19">
        <f>IFERROR(M2/D2,0)</f>
        <v/>
      </c>
      <c r="P2" s="18">
        <f>IFERROR(I2/J2,0)</f>
        <v/>
      </c>
      <c r="Q2" s="18">
        <f>IFERROR(I2/E2,0)</f>
        <v/>
      </c>
      <c r="R2" s="18">
        <f>IFERROR(D2/C2,0)</f>
        <v/>
      </c>
    </row>
    <row r="3">
      <c r="A3" t="inlineStr">
        <is>
          <t>HP-SIL-LID6</t>
        </is>
      </c>
      <c r="B3" t="inlineStr">
        <is>
          <t>Silicone Stretch Lids, 6-Pack Assorted Sizes</t>
        </is>
      </c>
      <c r="C3" s="14" t="n">
        <v>5119</v>
      </c>
      <c r="D3" s="14" t="n">
        <v>728</v>
      </c>
      <c r="E3" s="15" t="n">
        <v>10182.78</v>
      </c>
      <c r="F3" s="16" t="n">
        <v>0.15</v>
      </c>
      <c r="G3" s="17" t="n">
        <v>3.86</v>
      </c>
      <c r="H3" s="17" t="n">
        <v>2.5</v>
      </c>
      <c r="I3" s="15" t="n">
        <v>1150</v>
      </c>
      <c r="J3" s="15" t="n">
        <v>6200</v>
      </c>
      <c r="K3" s="15">
        <f>E3*F3+D3*G3</f>
        <v/>
      </c>
      <c r="L3" s="15">
        <f>D3*H3</f>
        <v/>
      </c>
      <c r="M3" s="15">
        <f>E3-K3-L3-I3</f>
        <v/>
      </c>
      <c r="N3" s="18">
        <f>IFERROR(M3/E3,0)</f>
        <v/>
      </c>
      <c r="O3" s="19">
        <f>IFERROR(M3/D3,0)</f>
        <v/>
      </c>
      <c r="P3" s="18">
        <f>IFERROR(I3/J3,0)</f>
        <v/>
      </c>
      <c r="Q3" s="18">
        <f>IFERROR(I3/E3,0)</f>
        <v/>
      </c>
      <c r="R3" s="18">
        <f>IFERROR(D3/C3,0)</f>
        <v/>
      </c>
    </row>
    <row r="4">
      <c r="A4" t="inlineStr">
        <is>
          <t>HP-MSR-SET</t>
        </is>
      </c>
      <c r="B4" t="inlineStr">
        <is>
          <t>Magnetic Measuring Spoons Set of 8</t>
        </is>
      </c>
      <c r="C4" s="14" t="n">
        <v>2298</v>
      </c>
      <c r="D4" s="14" t="n">
        <v>305</v>
      </c>
      <c r="E4" s="15" t="n">
        <v>5039.24</v>
      </c>
      <c r="F4" s="16" t="n">
        <v>0.15</v>
      </c>
      <c r="G4" s="17" t="n">
        <v>3.86</v>
      </c>
      <c r="H4" s="17" t="n">
        <v>3.6</v>
      </c>
      <c r="I4" s="15" t="n">
        <v>310</v>
      </c>
      <c r="J4" s="15" t="n">
        <v>2100</v>
      </c>
      <c r="K4" s="15">
        <f>E4*F4+D4*G4</f>
        <v/>
      </c>
      <c r="L4" s="15">
        <f>D4*H4</f>
        <v/>
      </c>
      <c r="M4" s="15">
        <f>E4-K4-L4-I4</f>
        <v/>
      </c>
      <c r="N4" s="18">
        <f>IFERROR(M4/E4,0)</f>
        <v/>
      </c>
      <c r="O4" s="19">
        <f>IFERROR(M4/D4,0)</f>
        <v/>
      </c>
      <c r="P4" s="18">
        <f>IFERROR(I4/J4,0)</f>
        <v/>
      </c>
      <c r="Q4" s="18">
        <f>IFERROR(I4/E4,0)</f>
        <v/>
      </c>
      <c r="R4" s="18">
        <f>IFERROR(D4/C4,0)</f>
        <v/>
      </c>
    </row>
    <row r="5">
      <c r="A5" t="inlineStr">
        <is>
          <t>HP-SS-STRW8</t>
        </is>
      </c>
      <c r="B5" t="inlineStr">
        <is>
          <t>Stainless Steel Straws, 8-Pack with Brushes</t>
        </is>
      </c>
      <c r="C5" s="14" t="n">
        <v>4456</v>
      </c>
      <c r="D5" s="14" t="n">
        <v>558</v>
      </c>
      <c r="E5" s="15" t="n">
        <v>5218.32</v>
      </c>
      <c r="F5" s="16" t="n">
        <v>0.15</v>
      </c>
      <c r="G5" s="17" t="n">
        <v>3.22</v>
      </c>
      <c r="H5" s="17" t="n">
        <v>1.6</v>
      </c>
      <c r="I5" s="15" t="n">
        <v>420</v>
      </c>
      <c r="J5" s="15" t="n">
        <v>2900</v>
      </c>
      <c r="K5" s="15">
        <f>E5*F5+D5*G5</f>
        <v/>
      </c>
      <c r="L5" s="15">
        <f>D5*H5</f>
        <v/>
      </c>
      <c r="M5" s="15">
        <f>E5-K5-L5-I5</f>
        <v/>
      </c>
      <c r="N5" s="18">
        <f>IFERROR(M5/E5,0)</f>
        <v/>
      </c>
      <c r="O5" s="19">
        <f>IFERROR(M5/D5,0)</f>
        <v/>
      </c>
      <c r="P5" s="18">
        <f>IFERROR(I5/J5,0)</f>
        <v/>
      </c>
      <c r="Q5" s="18">
        <f>IFERROR(I5/E5,0)</f>
        <v/>
      </c>
      <c r="R5" s="18">
        <f>IFERROR(D5/C5,0)</f>
        <v/>
      </c>
    </row>
    <row r="6">
      <c r="A6" t="inlineStr">
        <is>
          <t>HP-BEE-WRP</t>
        </is>
      </c>
      <c r="B6" t="inlineStr">
        <is>
          <t>Beeswax Food Wraps, 9-Pack</t>
        </is>
      </c>
      <c r="C6" s="14" t="n">
        <v>3655</v>
      </c>
      <c r="D6" s="14" t="n">
        <v>209</v>
      </c>
      <c r="E6" s="15" t="n">
        <v>3805.68</v>
      </c>
      <c r="F6" s="16" t="n">
        <v>0.15</v>
      </c>
      <c r="G6" s="17" t="n">
        <v>3.86</v>
      </c>
      <c r="H6" s="17" t="n">
        <v>4.3</v>
      </c>
      <c r="I6" s="15" t="n">
        <v>520</v>
      </c>
      <c r="J6" s="15" t="n">
        <v>1400</v>
      </c>
      <c r="K6" s="15">
        <f>E6*F6+D6*G6</f>
        <v/>
      </c>
      <c r="L6" s="15">
        <f>D6*H6</f>
        <v/>
      </c>
      <c r="M6" s="15">
        <f>E6-K6-L6-I6</f>
        <v/>
      </c>
      <c r="N6" s="18">
        <f>IFERROR(M6/E6,0)</f>
        <v/>
      </c>
      <c r="O6" s="19">
        <f>IFERROR(M6/D6,0)</f>
        <v/>
      </c>
      <c r="P6" s="18">
        <f>IFERROR(I6/J6,0)</f>
        <v/>
      </c>
      <c r="Q6" s="18">
        <f>IFERROR(I6/E6,0)</f>
        <v/>
      </c>
      <c r="R6" s="18">
        <f>IFERROR(D6/C6,0)</f>
        <v/>
      </c>
    </row>
    <row r="7">
      <c r="A7" t="inlineStr">
        <is>
          <t>HP-OIL-SPR</t>
        </is>
      </c>
      <c r="B7" t="inlineStr">
        <is>
          <t>Olive Oil Sprayer for Cooking, 7oz Glass</t>
        </is>
      </c>
      <c r="C7" s="14" t="n">
        <v>4053</v>
      </c>
      <c r="D7" s="14" t="n">
        <v>352</v>
      </c>
      <c r="E7" s="15" t="n">
        <v>4617.2</v>
      </c>
      <c r="F7" s="16" t="n">
        <v>0.15</v>
      </c>
      <c r="G7" s="17" t="n">
        <v>3.86</v>
      </c>
      <c r="H7" s="17" t="n">
        <v>3.3</v>
      </c>
      <c r="I7" s="15" t="n">
        <v>520</v>
      </c>
      <c r="J7" s="15" t="n">
        <v>2700</v>
      </c>
      <c r="K7" s="15">
        <f>E7*F7+D7*G7</f>
        <v/>
      </c>
      <c r="L7" s="15">
        <f>D7*H7</f>
        <v/>
      </c>
      <c r="M7" s="15">
        <f>E7-K7-L7-I7</f>
        <v/>
      </c>
      <c r="N7" s="18">
        <f>IFERROR(M7/E7,0)</f>
        <v/>
      </c>
      <c r="O7" s="19">
        <f>IFERROR(M7/D7,0)</f>
        <v/>
      </c>
      <c r="P7" s="18">
        <f>IFERROR(I7/J7,0)</f>
        <v/>
      </c>
      <c r="Q7" s="18">
        <f>IFERROR(I7/E7,0)</f>
        <v/>
      </c>
      <c r="R7" s="18">
        <f>IFERROR(D7/C7,0)</f>
        <v/>
      </c>
    </row>
    <row r="8">
      <c r="A8" t="inlineStr">
        <is>
          <t>HP-KNF-MAG</t>
        </is>
      </c>
      <c r="B8" t="inlineStr">
        <is>
          <t>Magnetic Knife Strip 16 inch, Walnut</t>
        </is>
      </c>
      <c r="C8" s="14" t="n">
        <v>1307</v>
      </c>
      <c r="D8" s="14" t="n">
        <v>122</v>
      </c>
      <c r="E8" s="15" t="n">
        <v>3558.04</v>
      </c>
      <c r="F8" s="16" t="n">
        <v>0.15</v>
      </c>
      <c r="G8" s="17" t="n">
        <v>6.45</v>
      </c>
      <c r="H8" s="17" t="n">
        <v>9.5</v>
      </c>
      <c r="I8" s="15" t="n">
        <v>210</v>
      </c>
      <c r="J8" s="15" t="n">
        <v>1100</v>
      </c>
      <c r="K8" s="15">
        <f>E8*F8+D8*G8</f>
        <v/>
      </c>
      <c r="L8" s="15">
        <f>D8*H8</f>
        <v/>
      </c>
      <c r="M8" s="15">
        <f>E8-K8-L8-I8</f>
        <v/>
      </c>
      <c r="N8" s="18">
        <f>IFERROR(M8/E8,0)</f>
        <v/>
      </c>
      <c r="O8" s="19">
        <f>IFERROR(M8/D8,0)</f>
        <v/>
      </c>
      <c r="P8" s="18">
        <f>IFERROR(I8/J8,0)</f>
        <v/>
      </c>
      <c r="Q8" s="18">
        <f>IFERROR(I8/E8,0)</f>
        <v/>
      </c>
      <c r="R8" s="18">
        <f>IFERROR(D8/C8,0)</f>
        <v/>
      </c>
    </row>
    <row r="9">
      <c r="A9" t="inlineStr">
        <is>
          <t>HP-SPC-RCK</t>
        </is>
      </c>
      <c r="B9" t="inlineStr">
        <is>
          <t>Rotating Spice Rack Organizer, 2-Tier</t>
        </is>
      </c>
      <c r="C9" s="14" t="n">
        <v>1975</v>
      </c>
      <c r="D9" s="14" t="n">
        <v>150</v>
      </c>
      <c r="E9" s="15" t="n">
        <v>3641.44</v>
      </c>
      <c r="F9" s="16" t="n">
        <v>0.15</v>
      </c>
      <c r="G9" s="17" t="n">
        <v>6.98</v>
      </c>
      <c r="H9" s="17" t="n">
        <v>8.699999999999999</v>
      </c>
      <c r="I9" s="15" t="n">
        <v>300</v>
      </c>
      <c r="J9" s="15" t="n">
        <v>1500</v>
      </c>
      <c r="K9" s="15">
        <f>E9*F9+D9*G9</f>
        <v/>
      </c>
      <c r="L9" s="15">
        <f>D9*H9</f>
        <v/>
      </c>
      <c r="M9" s="15">
        <f>E9-K9-L9-I9</f>
        <v/>
      </c>
      <c r="N9" s="18">
        <f>IFERROR(M9/E9,0)</f>
        <v/>
      </c>
      <c r="O9" s="19">
        <f>IFERROR(M9/D9,0)</f>
        <v/>
      </c>
      <c r="P9" s="18">
        <f>IFERROR(I9/J9,0)</f>
        <v/>
      </c>
      <c r="Q9" s="18">
        <f>IFERROR(I9/E9,0)</f>
        <v/>
      </c>
      <c r="R9" s="18">
        <f>IFERROR(D9/C9,0)</f>
        <v/>
      </c>
    </row>
    <row r="10">
      <c r="A10" t="inlineStr">
        <is>
          <t>HP-DSH-RCK</t>
        </is>
      </c>
      <c r="B10" t="inlineStr">
        <is>
          <t>Over-the-Sink Dish Drying Rack, Adjustable</t>
        </is>
      </c>
      <c r="C10" s="14" t="n">
        <v>5000</v>
      </c>
      <c r="D10" s="14" t="n">
        <v>127</v>
      </c>
      <c r="E10" s="15" t="n">
        <v>4803.61</v>
      </c>
      <c r="F10" s="16" t="n">
        <v>0.15</v>
      </c>
      <c r="G10" s="17" t="n">
        <v>9.41</v>
      </c>
      <c r="H10" s="17" t="n">
        <v>16.3</v>
      </c>
      <c r="I10" s="15" t="n">
        <v>440</v>
      </c>
      <c r="J10" s="15" t="n">
        <v>1800</v>
      </c>
      <c r="K10" s="15">
        <f>E10*F10+D10*G10</f>
        <v/>
      </c>
      <c r="L10" s="15">
        <f>D10*H10</f>
        <v/>
      </c>
      <c r="M10" s="15">
        <f>E10-K10-L10-I10</f>
        <v/>
      </c>
      <c r="N10" s="18">
        <f>IFERROR(M10/E10,0)</f>
        <v/>
      </c>
      <c r="O10" s="19">
        <f>IFERROR(M10/D10,0)</f>
        <v/>
      </c>
      <c r="P10" s="18">
        <f>IFERROR(I10/J10,0)</f>
        <v/>
      </c>
      <c r="Q10" s="18">
        <f>IFERROR(I10/E10,0)</f>
        <v/>
      </c>
      <c r="R10" s="18">
        <f>IFERROR(D10/C10,0)</f>
        <v/>
      </c>
    </row>
    <row r="11">
      <c r="A11" t="inlineStr">
        <is>
          <t>HP-GLS-JAR4</t>
        </is>
      </c>
      <c r="B11" t="inlineStr">
        <is>
          <t>Glass Mason Jars 32oz, Set of 4 with Lids</t>
        </is>
      </c>
      <c r="C11" s="14" t="n">
        <v>2111</v>
      </c>
      <c r="D11" s="14" t="n">
        <v>235</v>
      </c>
      <c r="E11" s="15" t="n">
        <v>6344.17</v>
      </c>
      <c r="F11" s="16" t="n">
        <v>0.15</v>
      </c>
      <c r="G11" s="17" t="n">
        <v>7.92</v>
      </c>
      <c r="H11" s="17" t="n">
        <v>11</v>
      </c>
      <c r="I11" s="15" t="n">
        <v>610</v>
      </c>
      <c r="J11" s="15" t="n">
        <v>1900</v>
      </c>
      <c r="K11" s="15">
        <f>E11*F11+D11*G11</f>
        <v/>
      </c>
      <c r="L11" s="15">
        <f>D11*H11</f>
        <v/>
      </c>
      <c r="M11" s="15">
        <f>E11-K11-L11-I11</f>
        <v/>
      </c>
      <c r="N11" s="18">
        <f>IFERROR(M11/E11,0)</f>
        <v/>
      </c>
      <c r="O11" s="19">
        <f>IFERROR(M11/D11,0)</f>
        <v/>
      </c>
      <c r="P11" s="18">
        <f>IFERROR(I11/J11,0)</f>
        <v/>
      </c>
      <c r="Q11" s="18">
        <f>IFERROR(I11/E11,0)</f>
        <v/>
      </c>
      <c r="R11" s="18">
        <f>IFERROR(D11/C11,0)</f>
        <v/>
      </c>
    </row>
    <row r="12">
      <c r="A12" t="inlineStr">
        <is>
          <t>HP-CRM-MUG2</t>
        </is>
      </c>
      <c r="B12" t="inlineStr">
        <is>
          <t>Ceramic Coffee Mugs 16oz, Set of 2</t>
        </is>
      </c>
      <c r="C12" s="14" t="n">
        <v>2720</v>
      </c>
      <c r="D12" s="14" t="n">
        <v>76</v>
      </c>
      <c r="E12" s="15" t="n">
        <v>1667.32</v>
      </c>
      <c r="F12" s="16" t="n">
        <v>0.15</v>
      </c>
      <c r="G12" s="17" t="n">
        <v>7.92</v>
      </c>
      <c r="H12" s="17" t="n">
        <v>8.6</v>
      </c>
      <c r="I12" s="15" t="n">
        <v>260</v>
      </c>
      <c r="J12" s="15" t="n">
        <v>520</v>
      </c>
      <c r="K12" s="15">
        <f>E12*F12+D12*G12</f>
        <v/>
      </c>
      <c r="L12" s="15">
        <f>D12*H12</f>
        <v/>
      </c>
      <c r="M12" s="15">
        <f>E12-K12-L12-I12</f>
        <v/>
      </c>
      <c r="N12" s="18">
        <f>IFERROR(M12/E12,0)</f>
        <v/>
      </c>
      <c r="O12" s="19">
        <f>IFERROR(M12/D12,0)</f>
        <v/>
      </c>
      <c r="P12" s="18">
        <f>IFERROR(I12/J12,0)</f>
        <v/>
      </c>
      <c r="Q12" s="18">
        <f>IFERROR(I12/E12,0)</f>
        <v/>
      </c>
      <c r="R12" s="18">
        <f>IFERROR(D12/C12,0)</f>
        <v/>
      </c>
    </row>
    <row r="13">
      <c r="A13" t="inlineStr">
        <is>
          <t>HP-HRB-KEEP</t>
        </is>
      </c>
      <c r="B13" t="inlineStr">
        <is>
          <t>Herb Keeper Fresh Saver, Clear</t>
        </is>
      </c>
      <c r="C13" s="14" t="n">
        <v>3639</v>
      </c>
      <c r="D13" s="14" t="n">
        <v>103</v>
      </c>
      <c r="E13" s="15" t="n">
        <v>1935.41</v>
      </c>
      <c r="F13" s="16" t="n">
        <v>0.15</v>
      </c>
      <c r="G13" s="17" t="n">
        <v>5.1</v>
      </c>
      <c r="H13" s="17" t="n">
        <v>5.5</v>
      </c>
      <c r="I13" s="15" t="n">
        <v>690</v>
      </c>
      <c r="J13" s="15" t="n">
        <v>980</v>
      </c>
      <c r="K13" s="15">
        <f>E13*F13+D13*G13</f>
        <v/>
      </c>
      <c r="L13" s="15">
        <f>D13*H13</f>
        <v/>
      </c>
      <c r="M13" s="15">
        <f>E13-K13-L13-I13</f>
        <v/>
      </c>
      <c r="N13" s="18">
        <f>IFERROR(M13/E13,0)</f>
        <v/>
      </c>
      <c r="O13" s="19">
        <f>IFERROR(M13/D13,0)</f>
        <v/>
      </c>
      <c r="P13" s="18">
        <f>IFERROR(I13/J13,0)</f>
        <v/>
      </c>
      <c r="Q13" s="18">
        <f>IFERROR(I13/E13,0)</f>
        <v/>
      </c>
      <c r="R13" s="18">
        <f>IFERROR(D13/C13,0)</f>
        <v/>
      </c>
    </row>
    <row r="14">
      <c r="A14" s="10" t="inlineStr">
        <is>
          <t>Total</t>
        </is>
      </c>
      <c r="B14" s="10" t="inlineStr"/>
      <c r="C14" s="20">
        <f>SUM(C2:C13)</f>
        <v/>
      </c>
      <c r="D14" s="20">
        <f>SUM(D2:D13)</f>
        <v/>
      </c>
      <c r="E14" s="21">
        <f>SUM(E2:E13)</f>
        <v/>
      </c>
      <c r="F14" s="22" t="inlineStr"/>
      <c r="G14" s="23" t="inlineStr"/>
      <c r="H14" s="23" t="inlineStr"/>
      <c r="I14" s="21">
        <f>SUM(I2:I13)</f>
        <v/>
      </c>
      <c r="J14" s="21">
        <f>SUM(J2:J13)</f>
        <v/>
      </c>
      <c r="K14" s="21">
        <f>SUM(K2:K13)</f>
        <v/>
      </c>
      <c r="L14" s="21">
        <f>SUM(L2:L13)</f>
        <v/>
      </c>
      <c r="M14" s="21">
        <f>SUM(M2:M13)</f>
        <v/>
      </c>
      <c r="N14" s="22">
        <f>IFERROR(M14/E14,0)</f>
        <v/>
      </c>
      <c r="O14" s="23">
        <f>IFERROR(M14/D14,0)</f>
        <v/>
      </c>
      <c r="P14" s="22">
        <f>IFERROR(I14/J14,0)</f>
        <v/>
      </c>
      <c r="Q14" s="22">
        <f>IFERROR(I14/E14,0)</f>
        <v/>
      </c>
      <c r="R14" s="22">
        <f>IFERROR(D14/C14,0)</f>
        <v/>
      </c>
    </row>
  </sheetData>
  <conditionalFormatting sqref="M2:M13">
    <cfRule type="cellIs" priority="1" operator="lessThan" dxfId="0">
      <formula>0</formula>
    </cfRule>
  </conditionalFormatting>
  <conditionalFormatting sqref="R2:R13">
    <cfRule type="expression" priority="2" dxfId="1">
      <formula>AND(R2&lt;Settings!$B$6,C2&gt;Settings!$B$7)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9" customWidth="1" min="3" max="3"/>
    <col width="10" customWidth="1" min="4" max="4"/>
    <col width="9" customWidth="1" min="5" max="5"/>
    <col width="11" customWidth="1" min="6" max="6"/>
    <col width="12" customWidth="1" min="7" max="7"/>
    <col width="9" customWidth="1" min="8" max="8"/>
    <col width="12" customWidth="1" min="9" max="9"/>
    <col width="12" customWidth="1" min="10" max="10"/>
    <col width="11" customWidth="1" min="11" max="11"/>
    <col width="22" customWidth="1" min="12" max="12"/>
  </cols>
  <sheetData>
    <row r="1" ht="32" customHeight="1">
      <c r="A1" s="13" t="inlineStr">
        <is>
          <t>SKU</t>
        </is>
      </c>
      <c r="B1" s="13" t="inlineStr">
        <is>
          <t>Product</t>
        </is>
      </c>
      <c r="C1" s="13" t="inlineStr">
        <is>
          <t>Units / day</t>
        </is>
      </c>
      <c r="D1" s="13" t="inlineStr">
        <is>
          <t>FBA fulfillable</t>
        </is>
      </c>
      <c r="E1" s="13" t="inlineStr">
        <is>
          <t>Inbound</t>
        </is>
      </c>
      <c r="F1" s="13" t="inlineStr">
        <is>
          <t>Days of cover (FBA)</t>
        </is>
      </c>
      <c r="G1" s="13" t="inlineStr">
        <is>
          <t>Days of cover (incl. inbound)</t>
        </is>
      </c>
      <c r="H1" s="13" t="inlineStr">
        <is>
          <t>Lead time, days</t>
        </is>
      </c>
      <c r="I1" s="13" t="inlineStr">
        <is>
          <t>Runs out (FBA)</t>
        </is>
      </c>
      <c r="J1" s="13" t="inlineStr">
        <is>
          <t>Order by (incl. inbound)</t>
        </is>
      </c>
      <c r="K1" s="13" t="inlineStr">
        <is>
          <t>Suggested order qty</t>
        </is>
      </c>
      <c r="L1" s="13" t="inlineStr">
        <is>
          <t>Status</t>
        </is>
      </c>
    </row>
    <row r="2">
      <c r="A2" t="inlineStr">
        <is>
          <t>HP-GLS-JAR4</t>
        </is>
      </c>
      <c r="B2" t="inlineStr">
        <is>
          <t>Glass Mason Jars 32oz, Set of 4 with Lids</t>
        </is>
      </c>
      <c r="C2" s="24">
        <f>'Profit by SKU'!D11/Settings!$B$1</f>
        <v/>
      </c>
      <c r="D2" t="n">
        <v>70</v>
      </c>
      <c r="E2" t="n">
        <v>300</v>
      </c>
      <c r="F2" s="25">
        <f>IFERROR(D2/C2,999)</f>
        <v/>
      </c>
      <c r="G2" s="25">
        <f>IFERROR((D2+E2)/C2,999)</f>
        <v/>
      </c>
      <c r="H2" s="26" t="n">
        <v>50</v>
      </c>
      <c r="I2" s="27">
        <f>IFERROR(Settings!$B$2+D2/C2,"")</f>
        <v/>
      </c>
      <c r="J2" s="27">
        <f>IFERROR(MAX(Settings!$B$2,Settings!$B$2+G2-H2-Settings!$B$3),"")</f>
        <v/>
      </c>
      <c r="K2" s="14">
        <f>IF(OR(LEFT(L2,9)="ORDER NOW",L2="Order this week"),MAX(0,CEILING((H2+Settings!$B$3+Settings!$B$4)*C2-D2-E2,10)),0)</f>
        <v/>
      </c>
      <c r="L2">
        <f>IF(G2-H2-Settings!$B$3&lt;=0,IF(F2&lt;H2,"ORDER NOW: stockout risk","ORDER NOW"),IF(G2-H2-Settings!$B$3&lt;=7,"Order this week",IF(G2&gt;Settings!$B$5,"Overstock",IF(F2&lt;H2,"Low FBA, inbound covers","OK"))))</f>
        <v/>
      </c>
    </row>
    <row r="3">
      <c r="A3" t="inlineStr">
        <is>
          <t>HP-BAM-CB3</t>
        </is>
      </c>
      <c r="B3" t="inlineStr">
        <is>
          <t>Bamboo Cutting Board Set, 3-Piece with Juice Groove</t>
        </is>
      </c>
      <c r="C3" s="24">
        <f>'Profit by SKU'!D2/Settings!$B$1</f>
        <v/>
      </c>
      <c r="D3" t="n">
        <v>180</v>
      </c>
      <c r="E3" t="n">
        <v>600</v>
      </c>
      <c r="F3" s="25">
        <f>IFERROR(D3/C3,999)</f>
        <v/>
      </c>
      <c r="G3" s="25">
        <f>IFERROR((D3+E3)/C3,999)</f>
        <v/>
      </c>
      <c r="H3" s="26" t="n">
        <v>45</v>
      </c>
      <c r="I3" s="27">
        <f>IFERROR(Settings!$B$2+D3/C3,"")</f>
        <v/>
      </c>
      <c r="J3" s="27">
        <f>IFERROR(MAX(Settings!$B$2,Settings!$B$2+G3-H3-Settings!$B$3),"")</f>
        <v/>
      </c>
      <c r="K3" s="14">
        <f>IF(OR(LEFT(L3,9)="ORDER NOW",L3="Order this week"),MAX(0,CEILING((H3+Settings!$B$3+Settings!$B$4)*C3-D3-E3,10)),0)</f>
        <v/>
      </c>
      <c r="L3">
        <f>IF(G3-H3-Settings!$B$3&lt;=0,IF(F3&lt;H3,"ORDER NOW: stockout risk","ORDER NOW"),IF(G3-H3-Settings!$B$3&lt;=7,"Order this week",IF(G3&gt;Settings!$B$5,"Overstock",IF(F3&lt;H3,"Low FBA, inbound covers","OK"))))</f>
        <v/>
      </c>
    </row>
    <row r="4">
      <c r="A4" t="inlineStr">
        <is>
          <t>HP-DSH-RCK</t>
        </is>
      </c>
      <c r="B4" t="inlineStr">
        <is>
          <t>Over-the-Sink Dish Drying Rack, Adjustable</t>
        </is>
      </c>
      <c r="C4" s="24">
        <f>'Profit by SKU'!D10/Settings!$B$1</f>
        <v/>
      </c>
      <c r="D4" t="n">
        <v>120</v>
      </c>
      <c r="E4" t="n">
        <v>200</v>
      </c>
      <c r="F4" s="25">
        <f>IFERROR(D4/C4,999)</f>
        <v/>
      </c>
      <c r="G4" s="25">
        <f>IFERROR((D4+E4)/C4,999)</f>
        <v/>
      </c>
      <c r="H4" s="26" t="n">
        <v>55</v>
      </c>
      <c r="I4" s="27">
        <f>IFERROR(Settings!$B$2+D4/C4,"")</f>
        <v/>
      </c>
      <c r="J4" s="27">
        <f>IFERROR(MAX(Settings!$B$2,Settings!$B$2+G4-H4-Settings!$B$3),"")</f>
        <v/>
      </c>
      <c r="K4" s="14">
        <f>IF(OR(LEFT(L4,9)="ORDER NOW",L4="Order this week"),MAX(0,CEILING((H4+Settings!$B$3+Settings!$B$4)*C4-D4-E4,10)),0)</f>
        <v/>
      </c>
      <c r="L4">
        <f>IF(G4-H4-Settings!$B$3&lt;=0,IF(F4&lt;H4,"ORDER NOW: stockout risk","ORDER NOW"),IF(G4-H4-Settings!$B$3&lt;=7,"Order this week",IF(G4&gt;Settings!$B$5,"Overstock",IF(F4&lt;H4,"Low FBA, inbound covers","OK"))))</f>
        <v/>
      </c>
    </row>
    <row r="5">
      <c r="A5" t="inlineStr">
        <is>
          <t>HP-BEE-WRP</t>
        </is>
      </c>
      <c r="B5" t="inlineStr">
        <is>
          <t>Beeswax Food Wraps, 9-Pack</t>
        </is>
      </c>
      <c r="C5" s="24">
        <f>'Profit by SKU'!D6/Settings!$B$1</f>
        <v/>
      </c>
      <c r="D5" t="n">
        <v>300</v>
      </c>
      <c r="E5" t="n">
        <v>400</v>
      </c>
      <c r="F5" s="25">
        <f>IFERROR(D5/C5,999)</f>
        <v/>
      </c>
      <c r="G5" s="25">
        <f>IFERROR((D5+E5)/C5,999)</f>
        <v/>
      </c>
      <c r="H5" s="26" t="n">
        <v>40</v>
      </c>
      <c r="I5" s="27">
        <f>IFERROR(Settings!$B$2+D5/C5,"")</f>
        <v/>
      </c>
      <c r="J5" s="27">
        <f>IFERROR(MAX(Settings!$B$2,Settings!$B$2+G5-H5-Settings!$B$3),"")</f>
        <v/>
      </c>
      <c r="K5" s="14">
        <f>IF(OR(LEFT(L5,9)="ORDER NOW",L5="Order this week"),MAX(0,CEILING((H5+Settings!$B$3+Settings!$B$4)*C5-D5-E5,10)),0)</f>
        <v/>
      </c>
      <c r="L5">
        <f>IF(G5-H5-Settings!$B$3&lt;=0,IF(F5&lt;H5,"ORDER NOW: stockout risk","ORDER NOW"),IF(G5-H5-Settings!$B$3&lt;=7,"Order this week",IF(G5&gt;Settings!$B$5,"Overstock",IF(F5&lt;H5,"Low FBA, inbound covers","OK"))))</f>
        <v/>
      </c>
    </row>
    <row r="6">
      <c r="A6" t="inlineStr">
        <is>
          <t>HP-KNF-MAG</t>
        </is>
      </c>
      <c r="B6" t="inlineStr">
        <is>
          <t>Magnetic Knife Strip 16 inch, Walnut</t>
        </is>
      </c>
      <c r="C6" s="24">
        <f>'Profit by SKU'!D8/Settings!$B$1</f>
        <v/>
      </c>
      <c r="D6" t="n">
        <v>230</v>
      </c>
      <c r="E6" t="n">
        <v>0</v>
      </c>
      <c r="F6" s="25">
        <f>IFERROR(D6/C6,999)</f>
        <v/>
      </c>
      <c r="G6" s="25">
        <f>IFERROR((D6+E6)/C6,999)</f>
        <v/>
      </c>
      <c r="H6" s="26" t="n">
        <v>50</v>
      </c>
      <c r="I6" s="27">
        <f>IFERROR(Settings!$B$2+D6/C6,"")</f>
        <v/>
      </c>
      <c r="J6" s="27">
        <f>IFERROR(MAX(Settings!$B$2,Settings!$B$2+G6-H6-Settings!$B$3),"")</f>
        <v/>
      </c>
      <c r="K6" s="14">
        <f>IF(OR(LEFT(L6,9)="ORDER NOW",L6="Order this week"),MAX(0,CEILING((H6+Settings!$B$3+Settings!$B$4)*C6-D6-E6,10)),0)</f>
        <v/>
      </c>
      <c r="L6">
        <f>IF(G6-H6-Settings!$B$3&lt;=0,IF(F6&lt;H6,"ORDER NOW: stockout risk","ORDER NOW"),IF(G6-H6-Settings!$B$3&lt;=7,"Order this week",IF(G6&gt;Settings!$B$5,"Overstock",IF(F6&lt;H6,"Low FBA, inbound covers","OK"))))</f>
        <v/>
      </c>
    </row>
    <row r="7">
      <c r="A7" t="inlineStr">
        <is>
          <t>HP-SPC-RCK</t>
        </is>
      </c>
      <c r="B7" t="inlineStr">
        <is>
          <t>Rotating Spice Rack Organizer, 2-Tier</t>
        </is>
      </c>
      <c r="C7" s="24">
        <f>'Profit by SKU'!D9/Settings!$B$1</f>
        <v/>
      </c>
      <c r="D7" t="n">
        <v>410</v>
      </c>
      <c r="E7" t="n">
        <v>0</v>
      </c>
      <c r="F7" s="25">
        <f>IFERROR(D7/C7,999)</f>
        <v/>
      </c>
      <c r="G7" s="25">
        <f>IFERROR((D7+E7)/C7,999)</f>
        <v/>
      </c>
      <c r="H7" s="26" t="n">
        <v>50</v>
      </c>
      <c r="I7" s="27">
        <f>IFERROR(Settings!$B$2+D7/C7,"")</f>
        <v/>
      </c>
      <c r="J7" s="27">
        <f>IFERROR(MAX(Settings!$B$2,Settings!$B$2+G7-H7-Settings!$B$3),"")</f>
        <v/>
      </c>
      <c r="K7" s="14">
        <f>IF(OR(LEFT(L7,9)="ORDER NOW",L7="Order this week"),MAX(0,CEILING((H7+Settings!$B$3+Settings!$B$4)*C7-D7-E7,10)),0)</f>
        <v/>
      </c>
      <c r="L7">
        <f>IF(G7-H7-Settings!$B$3&lt;=0,IF(F7&lt;H7,"ORDER NOW: stockout risk","ORDER NOW"),IF(G7-H7-Settings!$B$3&lt;=7,"Order this week",IF(G7&gt;Settings!$B$5,"Overstock",IF(F7&lt;H7,"Low FBA, inbound covers","OK"))))</f>
        <v/>
      </c>
    </row>
    <row r="8">
      <c r="A8" t="inlineStr">
        <is>
          <t>HP-MSR-SET</t>
        </is>
      </c>
      <c r="B8" t="inlineStr">
        <is>
          <t>Magnetic Measuring Spoons Set of 8</t>
        </is>
      </c>
      <c r="C8" s="24">
        <f>'Profit by SKU'!D4/Settings!$B$1</f>
        <v/>
      </c>
      <c r="D8" t="n">
        <v>950</v>
      </c>
      <c r="E8" t="n">
        <v>0</v>
      </c>
      <c r="F8" s="25">
        <f>IFERROR(D8/C8,999)</f>
        <v/>
      </c>
      <c r="G8" s="25">
        <f>IFERROR((D8+E8)/C8,999)</f>
        <v/>
      </c>
      <c r="H8" s="26" t="n">
        <v>40</v>
      </c>
      <c r="I8" s="27">
        <f>IFERROR(Settings!$B$2+D8/C8,"")</f>
        <v/>
      </c>
      <c r="J8" s="27">
        <f>IFERROR(MAX(Settings!$B$2,Settings!$B$2+G8-H8-Settings!$B$3),"")</f>
        <v/>
      </c>
      <c r="K8" s="14">
        <f>IF(OR(LEFT(L8,9)="ORDER NOW",L8="Order this week"),MAX(0,CEILING((H8+Settings!$B$3+Settings!$B$4)*C8-D8-E8,10)),0)</f>
        <v/>
      </c>
      <c r="L8">
        <f>IF(G8-H8-Settings!$B$3&lt;=0,IF(F8&lt;H8,"ORDER NOW: stockout risk","ORDER NOW"),IF(G8-H8-Settings!$B$3&lt;=7,"Order this week",IF(G8&gt;Settings!$B$5,"Overstock",IF(F8&lt;H8,"Low FBA, inbound covers","OK"))))</f>
        <v/>
      </c>
    </row>
    <row r="9">
      <c r="A9" t="inlineStr">
        <is>
          <t>HP-OIL-SPR</t>
        </is>
      </c>
      <c r="B9" t="inlineStr">
        <is>
          <t>Olive Oil Sprayer for Cooking, 7oz Glass</t>
        </is>
      </c>
      <c r="C9" s="24">
        <f>'Profit by SKU'!D7/Settings!$B$1</f>
        <v/>
      </c>
      <c r="D9" t="n">
        <v>1100</v>
      </c>
      <c r="E9" t="n">
        <v>0</v>
      </c>
      <c r="F9" s="25">
        <f>IFERROR(D9/C9,999)</f>
        <v/>
      </c>
      <c r="G9" s="25">
        <f>IFERROR((D9+E9)/C9,999)</f>
        <v/>
      </c>
      <c r="H9" s="26" t="n">
        <v>35</v>
      </c>
      <c r="I9" s="27">
        <f>IFERROR(Settings!$B$2+D9/C9,"")</f>
        <v/>
      </c>
      <c r="J9" s="27">
        <f>IFERROR(MAX(Settings!$B$2,Settings!$B$2+G9-H9-Settings!$B$3),"")</f>
        <v/>
      </c>
      <c r="K9" s="14">
        <f>IF(OR(LEFT(L9,9)="ORDER NOW",L9="Order this week"),MAX(0,CEILING((H9+Settings!$B$3+Settings!$B$4)*C9-D9-E9,10)),0)</f>
        <v/>
      </c>
      <c r="L9">
        <f>IF(G9-H9-Settings!$B$3&lt;=0,IF(F9&lt;H9,"ORDER NOW: stockout risk","ORDER NOW"),IF(G9-H9-Settings!$B$3&lt;=7,"Order this week",IF(G9&gt;Settings!$B$5,"Overstock",IF(F9&lt;H9,"Low FBA, inbound covers","OK"))))</f>
        <v/>
      </c>
    </row>
    <row r="10">
      <c r="A10" t="inlineStr">
        <is>
          <t>HP-SIL-LID6</t>
        </is>
      </c>
      <c r="B10" t="inlineStr">
        <is>
          <t>Silicone Stretch Lids, 6-Pack Assorted Sizes</t>
        </is>
      </c>
      <c r="C10" s="24">
        <f>'Profit by SKU'!D3/Settings!$B$1</f>
        <v/>
      </c>
      <c r="D10" t="n">
        <v>2400</v>
      </c>
      <c r="E10" t="n">
        <v>0</v>
      </c>
      <c r="F10" s="25">
        <f>IFERROR(D10/C10,999)</f>
        <v/>
      </c>
      <c r="G10" s="25">
        <f>IFERROR((D10+E10)/C10,999)</f>
        <v/>
      </c>
      <c r="H10" s="26" t="n">
        <v>40</v>
      </c>
      <c r="I10" s="27">
        <f>IFERROR(Settings!$B$2+D10/C10,"")</f>
        <v/>
      </c>
      <c r="J10" s="27">
        <f>IFERROR(MAX(Settings!$B$2,Settings!$B$2+G10-H10-Settings!$B$3),"")</f>
        <v/>
      </c>
      <c r="K10" s="14">
        <f>IF(OR(LEFT(L10,9)="ORDER NOW",L10="Order this week"),MAX(0,CEILING((H10+Settings!$B$3+Settings!$B$4)*C10-D10-E10,10)),0)</f>
        <v/>
      </c>
      <c r="L10">
        <f>IF(G10-H10-Settings!$B$3&lt;=0,IF(F10&lt;H10,"ORDER NOW: stockout risk","ORDER NOW"),IF(G10-H10-Settings!$B$3&lt;=7,"Order this week",IF(G10&gt;Settings!$B$5,"Overstock",IF(F10&lt;H10,"Low FBA, inbound covers","OK"))))</f>
        <v/>
      </c>
    </row>
    <row r="11">
      <c r="A11" t="inlineStr">
        <is>
          <t>HP-SS-STRW8</t>
        </is>
      </c>
      <c r="B11" t="inlineStr">
        <is>
          <t>Stainless Steel Straws, 8-Pack with Brushes</t>
        </is>
      </c>
      <c r="C11" s="24">
        <f>'Profit by SKU'!D5/Settings!$B$1</f>
        <v/>
      </c>
      <c r="D11" t="n">
        <v>1900</v>
      </c>
      <c r="E11" t="n">
        <v>0</v>
      </c>
      <c r="F11" s="25">
        <f>IFERROR(D11/C11,999)</f>
        <v/>
      </c>
      <c r="G11" s="25">
        <f>IFERROR((D11+E11)/C11,999)</f>
        <v/>
      </c>
      <c r="H11" s="26" t="n">
        <v>40</v>
      </c>
      <c r="I11" s="27">
        <f>IFERROR(Settings!$B$2+D11/C11,"")</f>
        <v/>
      </c>
      <c r="J11" s="27">
        <f>IFERROR(MAX(Settings!$B$2,Settings!$B$2+G11-H11-Settings!$B$3),"")</f>
        <v/>
      </c>
      <c r="K11" s="14">
        <f>IF(OR(LEFT(L11,9)="ORDER NOW",L11="Order this week"),MAX(0,CEILING((H11+Settings!$B$3+Settings!$B$4)*C11-D11-E11,10)),0)</f>
        <v/>
      </c>
      <c r="L11">
        <f>IF(G11-H11-Settings!$B$3&lt;=0,IF(F11&lt;H11,"ORDER NOW: stockout risk","ORDER NOW"),IF(G11-H11-Settings!$B$3&lt;=7,"Order this week",IF(G11&gt;Settings!$B$5,"Overstock",IF(F11&lt;H11,"Low FBA, inbound covers","OK"))))</f>
        <v/>
      </c>
    </row>
    <row r="12">
      <c r="A12" t="inlineStr">
        <is>
          <t>HP-HRB-KEEP</t>
        </is>
      </c>
      <c r="B12" t="inlineStr">
        <is>
          <t>Herb Keeper Fresh Saver, Clear</t>
        </is>
      </c>
      <c r="C12" s="24">
        <f>'Profit by SKU'!D13/Settings!$B$1</f>
        <v/>
      </c>
      <c r="D12" t="n">
        <v>720</v>
      </c>
      <c r="E12" t="n">
        <v>0</v>
      </c>
      <c r="F12" s="25">
        <f>IFERROR(D12/C12,999)</f>
        <v/>
      </c>
      <c r="G12" s="25">
        <f>IFERROR((D12+E12)/C12,999)</f>
        <v/>
      </c>
      <c r="H12" s="26" t="n">
        <v>45</v>
      </c>
      <c r="I12" s="27">
        <f>IFERROR(Settings!$B$2+D12/C12,"")</f>
        <v/>
      </c>
      <c r="J12" s="27">
        <f>IFERROR(MAX(Settings!$B$2,Settings!$B$2+G12-H12-Settings!$B$3),"")</f>
        <v/>
      </c>
      <c r="K12" s="14">
        <f>IF(OR(LEFT(L12,9)="ORDER NOW",L12="Order this week"),MAX(0,CEILING((H12+Settings!$B$3+Settings!$B$4)*C12-D12-E12,10)),0)</f>
        <v/>
      </c>
      <c r="L12">
        <f>IF(G12-H12-Settings!$B$3&lt;=0,IF(F12&lt;H12,"ORDER NOW: stockout risk","ORDER NOW"),IF(G12-H12-Settings!$B$3&lt;=7,"Order this week",IF(G12&gt;Settings!$B$5,"Overstock",IF(F12&lt;H12,"Low FBA, inbound covers","OK"))))</f>
        <v/>
      </c>
    </row>
    <row r="13">
      <c r="A13" t="inlineStr">
        <is>
          <t>HP-CRM-MUG2</t>
        </is>
      </c>
      <c r="B13" t="inlineStr">
        <is>
          <t>Ceramic Coffee Mugs 16oz, Set of 2</t>
        </is>
      </c>
      <c r="C13" s="24">
        <f>'Profit by SKU'!D12/Settings!$B$1</f>
        <v/>
      </c>
      <c r="D13" t="n">
        <v>900</v>
      </c>
      <c r="E13" t="n">
        <v>0</v>
      </c>
      <c r="F13" s="25">
        <f>IFERROR(D13/C13,999)</f>
        <v/>
      </c>
      <c r="G13" s="25">
        <f>IFERROR((D13+E13)/C13,999)</f>
        <v/>
      </c>
      <c r="H13" s="26" t="n">
        <v>60</v>
      </c>
      <c r="I13" s="27">
        <f>IFERROR(Settings!$B$2+D13/C13,"")</f>
        <v/>
      </c>
      <c r="J13" s="27">
        <f>IFERROR(MAX(Settings!$B$2,Settings!$B$2+G13-H13-Settings!$B$3),"")</f>
        <v/>
      </c>
      <c r="K13" s="14">
        <f>IF(OR(LEFT(L13,9)="ORDER NOW",L13="Order this week"),MAX(0,CEILING((H13+Settings!$B$3+Settings!$B$4)*C13-D13-E13,10)),0)</f>
        <v/>
      </c>
      <c r="L13">
        <f>IF(G13-H13-Settings!$B$3&lt;=0,IF(F13&lt;H13,"ORDER NOW: stockout risk","ORDER NOW"),IF(G13-H13-Settings!$B$3&lt;=7,"Order this week",IF(G13&gt;Settings!$B$5,"Overstock",IF(F13&lt;H13,"Low FBA, inbound covers","OK"))))</f>
        <v/>
      </c>
    </row>
  </sheetData>
  <conditionalFormatting sqref="L2:L13">
    <cfRule type="expression" priority="1" dxfId="2">
      <formula>LEFT($L2,9)="ORDER NOW"</formula>
    </cfRule>
    <cfRule type="expression" priority="2" dxfId="1">
      <formula>LEFT($L2,15)="Order this week"</formula>
    </cfRule>
    <cfRule type="expression" priority="3" dxfId="3">
      <formula>LEFT($L2,7)="Low FBA"</formula>
    </cfRule>
    <cfRule type="expression" priority="4" dxfId="4">
      <formula>LEFT($L2,9)="Overstock"</formula>
    </cfRule>
    <cfRule type="expression" priority="5" dxfId="5">
      <formula>LEFT($L2,2)="OK"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t="inlineStr">
        <is>
          <t>Report period, days</t>
        </is>
      </c>
      <c r="B1" s="26" t="n">
        <v>30</v>
      </c>
    </row>
    <row r="2">
      <c r="A2" t="inlineStr">
        <is>
          <t>As-of date</t>
        </is>
      </c>
      <c r="B2" s="28" t="n">
        <v>46301</v>
      </c>
    </row>
    <row r="3">
      <c r="A3" t="inlineStr">
        <is>
          <t>Safety stock, days</t>
        </is>
      </c>
      <c r="B3" s="26" t="n">
        <v>14</v>
      </c>
    </row>
    <row r="4">
      <c r="A4" t="inlineStr">
        <is>
          <t>Target cover after arrival, days</t>
        </is>
      </c>
      <c r="B4" s="26" t="n">
        <v>60</v>
      </c>
    </row>
    <row r="5">
      <c r="A5" t="inlineStr">
        <is>
          <t>Overstock above, days of cover</t>
        </is>
      </c>
      <c r="B5" s="26" t="n">
        <v>120</v>
      </c>
    </row>
    <row r="6">
      <c r="A6" t="inlineStr">
        <is>
          <t>Low conversion below</t>
        </is>
      </c>
      <c r="B6" s="16" t="n">
        <v>0.08</v>
      </c>
    </row>
    <row r="7">
      <c r="A7" t="inlineStr">
        <is>
          <t>…with sessions above</t>
        </is>
      </c>
      <c r="B7" s="26" t="n">
        <v>2000</v>
      </c>
    </row>
    <row r="9">
      <c r="A9" s="29" t="inlineStr">
        <is>
          <t>Yellow cells on every sheet are inputs. Change them and all numbers recalculate.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2026-10-06T18:16:03Z</dcterms:created>
  <dcterms:modified xsi:type="dcterms:W3CDTF">2026-10-06T18:16:03Z</dcterms:modified>
</cp:coreProperties>
</file>